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a\Desktop\"/>
    </mc:Choice>
  </mc:AlternateContent>
  <bookViews>
    <workbookView xWindow="0" yWindow="0" windowWidth="19425" windowHeight="6900" tabRatio="486"/>
  </bookViews>
  <sheets>
    <sheet name="Simulador Financeiro" sheetId="2" r:id="rId1"/>
    <sheet name="Tabela_Apoio" sheetId="3" r:id="rId2"/>
  </sheets>
  <definedNames>
    <definedName name="Aporte">'Simulador Financeiro'!$D$18</definedName>
    <definedName name="Dividendos">'Simulador Financeiro'!$D$22</definedName>
    <definedName name="Invest_Mensal">'Simulador Financeiro'!$D$33</definedName>
    <definedName name="Patrimonio">'Simulador Financeiro'!$D$21</definedName>
    <definedName name="Quant_Anos">'Simulador Financeiro'!$D$19</definedName>
    <definedName name="Rendimento_Carteira">'Simulador Financeiro'!$D$14</definedName>
    <definedName name="Salario">'Simulador Financeiro'!$D$13</definedName>
    <definedName name="Sugestao_Invest">'Simulador Financeiro'!$D$15</definedName>
    <definedName name="Taxa_Mensal">'Simulador Financeiro'!$D$20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2" l="1"/>
  <c r="C37" i="2"/>
  <c r="C38" i="2"/>
  <c r="C39" i="2"/>
  <c r="C40" i="2"/>
  <c r="C41" i="2"/>
  <c r="C36" i="2"/>
  <c r="B9" i="3"/>
  <c r="B10" i="3"/>
  <c r="B11" i="3"/>
  <c r="B12" i="3"/>
  <c r="B13" i="3"/>
  <c r="B14" i="3"/>
  <c r="B15" i="3"/>
  <c r="B16" i="3"/>
  <c r="B17" i="3"/>
  <c r="B18" i="3"/>
  <c r="B19" i="3"/>
  <c r="B20" i="3"/>
  <c r="B4" i="3"/>
  <c r="B5" i="3"/>
  <c r="B6" i="3"/>
  <c r="B7" i="3"/>
  <c r="B8" i="3"/>
  <c r="B3" i="3"/>
  <c r="D21" i="2"/>
  <c r="D22" i="2" s="1"/>
  <c r="C29" i="2"/>
  <c r="D29" i="2" s="1"/>
  <c r="D15" i="2"/>
  <c r="C27" i="2"/>
  <c r="D27" i="2" s="1"/>
  <c r="C28" i="2"/>
  <c r="D28" i="2" s="1"/>
  <c r="C42" i="2" l="1"/>
  <c r="D39" i="2"/>
  <c r="D38" i="2"/>
  <c r="D36" i="2"/>
  <c r="D37" i="2"/>
  <c r="D41" i="2"/>
  <c r="D40" i="2"/>
  <c r="C26" i="2"/>
  <c r="D26" i="2" s="1"/>
  <c r="C25" i="2"/>
  <c r="D25" i="2" s="1"/>
  <c r="D42" i="2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<sst xmlns="http://schemas.openxmlformats.org/spreadsheetml/2006/main" count="70" uniqueCount="35">
  <si>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</si>
  <si>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</si>
  <si>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Quantos anos devo investir?</t>
  </si>
  <si>
    <t>Taxa de rendimento mensal?</t>
  </si>
  <si>
    <t>Patrimonio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</si>
  <si>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</si>
  <si>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</si>
  <si>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</si>
  <si>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</si>
  <si>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</si>
  <si>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</si>
  <si>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</si>
  <si>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</si>
  <si>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CONFIGURAÇÕES</t>
  </si>
  <si>
    <t>CENÁRIOS</t>
  </si>
  <si>
    <t>DIVIDENDOS</t>
  </si>
  <si>
    <t>Perfil</t>
  </si>
  <si>
    <t>AGRESSIVO</t>
  </si>
  <si>
    <t>MODERADO</t>
  </si>
  <si>
    <t>VALOR A SER INVESTIDO POR MÊS</t>
  </si>
  <si>
    <t>PERFIL</t>
  </si>
  <si>
    <t>TIPO DE FII</t>
  </si>
  <si>
    <t>PAPEL</t>
  </si>
  <si>
    <t>TIJOLO</t>
  </si>
  <si>
    <t>FOFs</t>
  </si>
  <si>
    <t>HOTELARIAS</t>
  </si>
  <si>
    <t>DESENVOLVIMENTOS</t>
  </si>
  <si>
    <t>HÍBRIDOS</t>
  </si>
  <si>
    <t>PERCENTUAL SUGERIDO</t>
  </si>
  <si>
    <t>VALORES</t>
  </si>
  <si>
    <t>CONSERVADOR</t>
  </si>
  <si>
    <t>%</t>
  </si>
  <si>
    <t>Chave Composta</t>
  </si>
  <si>
    <t>Sugestãode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</si>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</sst>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5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7016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164" fontId="7" fillId="5" borderId="13" xfId="1" applyNumberFormat="1" applyFont="1" applyFill="1" applyBorder="1" applyAlignment="1">
      <alignment horizontal="center" vertical="center"/>
    </xf>
    <xf numFmtId="164" fontId="7" fillId="5" borderId="14" xfId="1" applyNumberFormat="1" applyFont="1" applyFill="1" applyBorder="1" applyAlignment="1">
      <alignment horizontal="center" vertical="center"/>
    </xf>
    <xf numFmtId="164" fontId="7" fillId="5" borderId="16" xfId="1" applyNumberFormat="1" applyFont="1" applyFill="1" applyBorder="1" applyAlignment="1">
      <alignment horizontal="center" vertical="center"/>
    </xf>
    <xf numFmtId="164" fontId="7" fillId="5" borderId="17" xfId="1" applyNumberFormat="1" applyFont="1" applyFill="1" applyBorder="1" applyAlignment="1">
      <alignment horizontal="center" vertical="center"/>
    </xf>
    <xf numFmtId="164" fontId="7" fillId="5" borderId="19" xfId="1" applyNumberFormat="1" applyFont="1" applyFill="1" applyBorder="1" applyAlignment="1">
      <alignment horizontal="center" vertical="center"/>
    </xf>
    <xf numFmtId="164" fontId="7" fillId="5" borderId="2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5" borderId="18" xfId="0" applyFont="1" applyFill="1" applyBorder="1" applyAlignment="1">
      <alignment horizontal="left" vertical="center" indent="3"/>
    </xf>
    <xf numFmtId="0" fontId="7" fillId="5" borderId="12" xfId="0" applyFont="1" applyFill="1" applyBorder="1" applyAlignment="1">
      <alignment horizontal="left" vertical="center" indent="3"/>
    </xf>
    <xf numFmtId="0" fontId="7" fillId="5" borderId="15" xfId="0" applyFont="1" applyFill="1" applyBorder="1" applyAlignment="1">
      <alignment horizontal="left" vertical="center" indent="3"/>
    </xf>
    <xf numFmtId="164" fontId="7" fillId="6" borderId="4" xfId="1" applyNumberFormat="1" applyFont="1" applyFill="1" applyBorder="1" applyAlignment="1">
      <alignment horizontal="center" vertical="center"/>
    </xf>
    <xf numFmtId="10" fontId="7" fillId="6" borderId="6" xfId="0" applyNumberFormat="1" applyFont="1" applyFill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0" fontId="7" fillId="6" borderId="6" xfId="2" applyNumberFormat="1" applyFont="1" applyFill="1" applyBorder="1" applyAlignment="1">
      <alignment horizontal="center" vertical="center"/>
    </xf>
    <xf numFmtId="0" fontId="2" fillId="2" borderId="0" xfId="3" applyAlignment="1">
      <alignment horizontal="center" vertical="center"/>
    </xf>
    <xf numFmtId="9" fontId="0" fillId="0" borderId="0" xfId="0" applyNumberFormat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8" fillId="5" borderId="7" xfId="0" applyFont="1" applyFill="1" applyBorder="1" applyAlignment="1">
      <alignment horizontal="left" vertical="center" indent="3"/>
    </xf>
    <xf numFmtId="0" fontId="8" fillId="5" borderId="27" xfId="0" applyFont="1" applyFill="1" applyBorder="1" applyAlignment="1">
      <alignment horizontal="left" vertical="center" indent="3"/>
    </xf>
    <xf numFmtId="0" fontId="4" fillId="7" borderId="1" xfId="0" applyFont="1" applyFill="1" applyBorder="1" applyAlignment="1">
      <alignment horizontal="left" vertical="center" indent="3"/>
    </xf>
    <xf numFmtId="0" fontId="4" fillId="7" borderId="21" xfId="0" applyFont="1" applyFill="1" applyBorder="1" applyAlignment="1">
      <alignment horizontal="left" vertical="center" indent="3"/>
    </xf>
    <xf numFmtId="0" fontId="4" fillId="7" borderId="2" xfId="0" applyFont="1" applyFill="1" applyBorder="1" applyAlignment="1">
      <alignment horizontal="left" vertical="center" indent="3"/>
    </xf>
    <xf numFmtId="0" fontId="4" fillId="4" borderId="1" xfId="0" applyFont="1" applyFill="1" applyBorder="1" applyAlignment="1">
      <alignment horizontal="left" vertical="center" indent="3"/>
    </xf>
    <xf numFmtId="0" fontId="4" fillId="4" borderId="21" xfId="0" applyFont="1" applyFill="1" applyBorder="1" applyAlignment="1">
      <alignment horizontal="left" vertical="center" indent="3"/>
    </xf>
    <xf numFmtId="0" fontId="4" fillId="4" borderId="2" xfId="0" applyFont="1" applyFill="1" applyBorder="1" applyAlignment="1">
      <alignment horizontal="left" vertical="center" indent="3"/>
    </xf>
    <xf numFmtId="0" fontId="3" fillId="8" borderId="0" xfId="0" applyFont="1" applyFill="1" applyAlignment="1">
      <alignment horizontal="left" vertical="center" indent="3"/>
    </xf>
    <xf numFmtId="0" fontId="2" fillId="2" borderId="0" xfId="3" applyBorder="1" applyAlignment="1">
      <alignment horizontal="left" vertical="center" indent="3"/>
    </xf>
    <xf numFmtId="0" fontId="8" fillId="5" borderId="5" xfId="0" applyFont="1" applyFill="1" applyBorder="1" applyAlignment="1">
      <alignment horizontal="left" vertical="center" indent="3"/>
    </xf>
    <xf numFmtId="0" fontId="8" fillId="5" borderId="26" xfId="0" applyFont="1" applyFill="1" applyBorder="1" applyAlignment="1">
      <alignment horizontal="left" vertical="center" indent="3"/>
    </xf>
    <xf numFmtId="0" fontId="6" fillId="4" borderId="1" xfId="0" applyFont="1" applyFill="1" applyBorder="1" applyAlignment="1">
      <alignment horizontal="left" vertical="center" indent="3"/>
    </xf>
    <xf numFmtId="0" fontId="6" fillId="4" borderId="21" xfId="0" applyFont="1" applyFill="1" applyBorder="1" applyAlignment="1">
      <alignment horizontal="left" vertical="center" indent="3"/>
    </xf>
    <xf numFmtId="0" fontId="7" fillId="8" borderId="9" xfId="0" applyFont="1" applyFill="1" applyBorder="1" applyAlignment="1">
      <alignment horizontal="left" vertical="center" indent="3"/>
    </xf>
    <xf numFmtId="0" fontId="7" fillId="8" borderId="22" xfId="0" applyFont="1" applyFill="1" applyBorder="1" applyAlignment="1">
      <alignment horizontal="left" vertical="center" indent="3"/>
    </xf>
    <xf numFmtId="0" fontId="7" fillId="8" borderId="10" xfId="0" applyFont="1" applyFill="1" applyBorder="1" applyAlignment="1">
      <alignment horizontal="left" vertical="center" indent="3"/>
    </xf>
    <xf numFmtId="0" fontId="7" fillId="8" borderId="23" xfId="0" applyFont="1" applyFill="1" applyBorder="1" applyAlignment="1">
      <alignment horizontal="left" vertical="center" indent="3"/>
    </xf>
    <xf numFmtId="0" fontId="7" fillId="5" borderId="11" xfId="0" applyFont="1" applyFill="1" applyBorder="1" applyAlignment="1">
      <alignment horizontal="left" vertical="center" indent="3"/>
    </xf>
    <xf numFmtId="0" fontId="7" fillId="5" borderId="24" xfId="0" applyFont="1" applyFill="1" applyBorder="1" applyAlignment="1">
      <alignment horizontal="left" vertical="center" indent="3"/>
    </xf>
    <xf numFmtId="0" fontId="7" fillId="8" borderId="3" xfId="0" applyFont="1" applyFill="1" applyBorder="1" applyAlignment="1">
      <alignment horizontal="left" vertical="center" indent="3"/>
    </xf>
    <xf numFmtId="0" fontId="7" fillId="8" borderId="25" xfId="0" applyFont="1" applyFill="1" applyBorder="1" applyAlignment="1">
      <alignment horizontal="left" vertical="center" indent="3"/>
    </xf>
    <xf numFmtId="0" fontId="7" fillId="8" borderId="5" xfId="0" applyFont="1" applyFill="1" applyBorder="1" applyAlignment="1">
      <alignment horizontal="left" vertical="center" indent="3"/>
    </xf>
    <xf numFmtId="0" fontId="7" fillId="8" borderId="26" xfId="0" applyFont="1" applyFill="1" applyBorder="1" applyAlignment="1">
      <alignment horizontal="left" vertical="center" indent="3"/>
    </xf>
  </cellXfs>
  <cellStyles count="4">
    <cellStyle name="Incorreto" xfId="3" builtinId="27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A70164"/>
      <color rgb="FFFEBADE"/>
      <color rgb="FFFFCCCC"/>
      <color rgb="FF4368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DIVISÃO CARTEIRA DE INVESTIMENTO DE ACORDO COM PERFIL</a:t>
            </a:r>
            <a:endParaRPr lang="en-US" b="1" i="0" u="none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'Simulador Financeiro'!$C$35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D-430F-BFDE-2BDB13FEFB3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28D-430F-BFDE-2BDB13FEFB32}"/>
              </c:ext>
            </c:extLst>
          </c:dPt>
          <c:dPt>
            <c:idx val="2"/>
            <c:bubble3D val="0"/>
            <c:spPr>
              <a:solidFill>
                <a:srgbClr val="FEBA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8D-430F-BFDE-2BDB13FEFB32}"/>
              </c:ext>
            </c:extLst>
          </c:dPt>
          <c:dPt>
            <c:idx val="3"/>
            <c:bubble3D val="0"/>
            <c:spPr>
              <a:solidFill>
                <a:srgbClr val="A701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28D-430F-BFDE-2BDB13FEFB32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28D-430F-BFDE-2BDB13FEFB32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8D-430F-BFDE-2BDB13FEF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'Simulador Financeiro'!$B$36:$B$41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'Simulador Financeiro'!$C$36:$C$41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D-430F-BFDE-2BDB13FEFB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24433287837125"/>
          <c:y val="0.34586814088359902"/>
          <c:w val="0.19749991671531095"/>
          <c:h val="0.40450494320691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484605</xdr:colOff>
      <xdr:row>1</xdr:row>
      <xdr:rowOff>26113</xdr:rowOff>
    </xdr:from>
    <xdr:to>
      <xdr:col>3</xdr:col>
      <xdr:colOff>2021973</xdr:colOff>
      <xdr:row>9</xdr:row>
      <xdr:rowOff>108939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05" y="209929"/>
          <a:ext cx="6500394" cy="1553352"/>
        </a:xfrm>
        <a:prstGeom prst="roundRect">
          <a:avLst>
            <a:gd name="adj" fmla="val 16667"/>
          </a:avLst>
        </a:prstGeom>
        <a:ln w="38100">
          <a:solidFill>
            <a:schemeClr val="accent6">
              <a:lumMod val="50000"/>
            </a:schemeClr>
          </a:solidFill>
          <a:prstDash val="sysDot"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48847</xdr:colOff>
      <xdr:row>43</xdr:row>
      <xdr:rowOff>44938</xdr:rowOff>
    </xdr:from>
    <xdr:to>
      <xdr:col>3</xdr:col>
      <xdr:colOff>1770673</xdr:colOff>
      <xdr:row>59</xdr:row>
      <xdr:rowOff>97692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1:F42"/>
  <sheetViews>
    <sheetView showGridLines="0" showRowColHeaders="0" tabSelected="1" topLeftCell="A28" zoomScale="78" zoomScaleNormal="78" workbookViewId="0">
      <selection activeCell="D37" sqref="D37"/>
    </sheetView>
  </sheetViews>
  <sheetFormatPr defaultColWidth="0" defaultRowHeight="15" x14ac:dyDescent="0.25"/>
  <cols>
    <col min="1" max="1" width="9.140625" customWidth="1"/>
    <col min="2" max="2" width="43.140625" customWidth="1"/>
    <col min="3" max="3" width="22.42578125" customWidth="1"/>
    <col min="4" max="4" width="30.42578125" customWidth="1"/>
    <col min="5" max="5" width="4.140625" customWidth="1"/>
    <col min="6" max="6" width="4.85546875" customWidth="1"/>
    <col min="7" max="8" width="9.140625" hidden="1" customWidth="1"/>
    <col min="9" max="16384" width="9.140625" hidden="1"/>
  </cols>
  <sheetData>
    <row r="11" spans="2:4" ht="15.75" thickBot="1" x14ac:dyDescent="0.3"/>
    <row r="12" spans="2:4" ht="27" thickBot="1" x14ac:dyDescent="0.3">
      <c r="B12" s="40" t="s">
        <v>13</v>
      </c>
      <c r="C12" s="41"/>
      <c r="D12" s="42"/>
    </row>
    <row r="13" spans="2:4" ht="15.75" x14ac:dyDescent="0.25">
      <c r="B13" s="52" t="s">
        <v>12</v>
      </c>
      <c r="C13" s="53"/>
      <c r="D13" s="15">
        <v>2000</v>
      </c>
    </row>
    <row r="14" spans="2:4" ht="15.75" x14ac:dyDescent="0.25">
      <c r="B14" s="54" t="s">
        <v>11</v>
      </c>
      <c r="C14" s="55"/>
      <c r="D14" s="16">
        <v>6.0000000000000001E-3</v>
      </c>
    </row>
    <row r="15" spans="2:4" ht="16.5" thickBot="1" x14ac:dyDescent="0.3">
      <c r="B15" s="56" t="s">
        <v>33</v>
      </c>
      <c r="C15" s="57"/>
      <c r="D15" s="17">
        <f>D13*30%</f>
        <v>600</v>
      </c>
    </row>
    <row r="16" spans="2:4" ht="15.75" thickBot="1" x14ac:dyDescent="0.3">
      <c r="B16" s="11"/>
      <c r="C16" s="11"/>
      <c r="D16" s="11"/>
    </row>
    <row r="17" spans="1:5" ht="27" thickBot="1" x14ac:dyDescent="0.3">
      <c r="B17" s="43" t="s">
        <v>0</v>
      </c>
      <c r="C17" s="44"/>
      <c r="D17" s="45"/>
    </row>
    <row r="18" spans="1:5" ht="15.75" x14ac:dyDescent="0.25">
      <c r="B18" s="58" t="s">
        <v>1</v>
      </c>
      <c r="C18" s="59"/>
      <c r="D18" s="15">
        <v>200</v>
      </c>
    </row>
    <row r="19" spans="1:5" ht="15.75" x14ac:dyDescent="0.25">
      <c r="B19" s="60" t="s">
        <v>2</v>
      </c>
      <c r="C19" s="61"/>
      <c r="D19" s="20">
        <v>5</v>
      </c>
    </row>
    <row r="20" spans="1:5" ht="15.75" x14ac:dyDescent="0.25">
      <c r="B20" s="60" t="s">
        <v>3</v>
      </c>
      <c r="C20" s="61"/>
      <c r="D20" s="21">
        <v>1.0789999999999999E-2</v>
      </c>
    </row>
    <row r="21" spans="1:5" ht="15.75" x14ac:dyDescent="0.25">
      <c r="B21" s="48" t="s">
        <v>4</v>
      </c>
      <c r="C21" s="49"/>
      <c r="D21" s="18">
        <f>FV(Taxa_Mensal,Quant_Anos*12,Aporte)*-1</f>
        <v>16755.382799697527</v>
      </c>
    </row>
    <row r="22" spans="1:5" ht="16.5" thickBot="1" x14ac:dyDescent="0.3">
      <c r="B22" s="38" t="s">
        <v>5</v>
      </c>
      <c r="C22" s="39"/>
      <c r="D22" s="19">
        <f>Patrimonio*Rendimento_Carteira</f>
        <v>100.53229679818516</v>
      </c>
    </row>
    <row r="23" spans="1:5" ht="15.75" thickBot="1" x14ac:dyDescent="0.3">
      <c r="B23" s="11"/>
      <c r="C23" s="11"/>
      <c r="D23" s="11"/>
    </row>
    <row r="24" spans="1:5" ht="20.25" thickBot="1" x14ac:dyDescent="0.3">
      <c r="B24" s="50" t="s">
        <v>14</v>
      </c>
      <c r="C24" s="51"/>
      <c r="D24" s="4" t="s">
        <v>15</v>
      </c>
    </row>
    <row r="25" spans="1:5" ht="15.75" x14ac:dyDescent="0.25">
      <c r="A25" s="2">
        <v>2</v>
      </c>
      <c r="B25" s="12" t="s">
        <v>6</v>
      </c>
      <c r="C25" s="9">
        <f>FV($D$20,$A25*12,$D$18)*-1</f>
        <v>5445.5254595290435</v>
      </c>
      <c r="D25" s="10">
        <f>C25*Rendimento_Carteira</f>
        <v>32.673152757174265</v>
      </c>
    </row>
    <row r="26" spans="1:5" ht="15.75" x14ac:dyDescent="0.25">
      <c r="A26" s="2">
        <v>5</v>
      </c>
      <c r="B26" s="13" t="s">
        <v>7</v>
      </c>
      <c r="C26" s="5">
        <f>FV($D$20,$A26*12,$D$18)*-1</f>
        <v>16755.382799697527</v>
      </c>
      <c r="D26" s="6">
        <f>C26*Rendimento_Carteira</f>
        <v>100.53229679818516</v>
      </c>
    </row>
    <row r="27" spans="1:5" ht="15.75" x14ac:dyDescent="0.25">
      <c r="A27" s="2">
        <v>10</v>
      </c>
      <c r="B27" s="13" t="s">
        <v>8</v>
      </c>
      <c r="C27" s="5">
        <f>FV($D$20,$A27*12,$D$18)*-1</f>
        <v>48656.842506034438</v>
      </c>
      <c r="D27" s="6">
        <f>C27*Rendimento_Carteira</f>
        <v>291.94105503620665</v>
      </c>
    </row>
    <row r="28" spans="1:5" ht="15.75" x14ac:dyDescent="0.25">
      <c r="A28" s="2">
        <v>20</v>
      </c>
      <c r="B28" s="13" t="s">
        <v>9</v>
      </c>
      <c r="C28" s="5">
        <f>FV($D$20,$A28*12,$D$18)*-1</f>
        <v>225039.68001941612</v>
      </c>
      <c r="D28" s="6">
        <f>C28*Rendimento_Carteira</f>
        <v>1350.2380801164968</v>
      </c>
      <c r="E28" s="1"/>
    </row>
    <row r="29" spans="1:5" ht="16.5" thickBot="1" x14ac:dyDescent="0.3">
      <c r="A29" s="2">
        <v>30</v>
      </c>
      <c r="B29" s="14" t="s">
        <v>10</v>
      </c>
      <c r="C29" s="7">
        <f>FV($D$20,$A29*12,$D$18)*-1</f>
        <v>864433.93100094295</v>
      </c>
      <c r="D29" s="8">
        <f>C29*Rendimento_Carteira</f>
        <v>5186.6035860056581</v>
      </c>
    </row>
    <row r="32" spans="1:5" x14ac:dyDescent="0.25">
      <c r="B32" s="47" t="s">
        <v>20</v>
      </c>
      <c r="C32" s="47"/>
      <c r="D32" s="22" t="s">
        <v>18</v>
      </c>
    </row>
    <row r="33" spans="2:4" x14ac:dyDescent="0.25">
      <c r="B33" s="46" t="s">
        <v>19</v>
      </c>
      <c r="C33" s="46"/>
      <c r="D33" s="24">
        <f>Aporte</f>
        <v>200</v>
      </c>
    </row>
    <row r="35" spans="2:4" x14ac:dyDescent="0.25">
      <c r="B35" s="32" t="s">
        <v>21</v>
      </c>
      <c r="C35" s="32" t="s">
        <v>28</v>
      </c>
      <c r="D35" s="32" t="s">
        <v>29</v>
      </c>
    </row>
    <row r="36" spans="2:4" x14ac:dyDescent="0.25">
      <c r="B36" s="33" t="s">
        <v>22</v>
      </c>
      <c r="C36" s="34">
        <f>VLOOKUP($D$32&amp;"-"&amp;B36,Tabela_Apoio!B:E,4,0)</f>
        <v>0.32</v>
      </c>
      <c r="D36" s="35">
        <f t="shared" ref="D36:D41" si="0">$C36*$D$33</f>
        <v>64</v>
      </c>
    </row>
    <row r="37" spans="2:4" x14ac:dyDescent="0.25">
      <c r="B37" s="33" t="s">
        <v>23</v>
      </c>
      <c r="C37" s="34">
        <f>VLOOKUP($D$32&amp;"-"&amp;B37,Tabela_Apoio!B:E,4,0)</f>
        <v>0.35</v>
      </c>
      <c r="D37" s="35">
        <f t="shared" si="0"/>
        <v>70</v>
      </c>
    </row>
    <row r="38" spans="2:4" x14ac:dyDescent="0.25">
      <c r="B38" s="33" t="s">
        <v>27</v>
      </c>
      <c r="C38" s="34">
        <f>VLOOKUP($D$32&amp;"-"&amp;B38,Tabela_Apoio!B:E,4,0)</f>
        <v>0.08</v>
      </c>
      <c r="D38" s="35">
        <f t="shared" si="0"/>
        <v>16</v>
      </c>
    </row>
    <row r="39" spans="2:4" x14ac:dyDescent="0.25">
      <c r="B39" s="33" t="s">
        <v>24</v>
      </c>
      <c r="C39" s="34">
        <f>VLOOKUP($D$32&amp;"-"&amp;B39,Tabela_Apoio!B:E,4,0)</f>
        <v>0.1</v>
      </c>
      <c r="D39" s="35">
        <f t="shared" si="0"/>
        <v>20</v>
      </c>
    </row>
    <row r="40" spans="2:4" x14ac:dyDescent="0.25">
      <c r="B40" s="33" t="s">
        <v>26</v>
      </c>
      <c r="C40" s="34">
        <f>VLOOKUP($D$32&amp;"-"&amp;B40,Tabela_Apoio!B:E,4,0)</f>
        <v>0.05</v>
      </c>
      <c r="D40" s="35">
        <f t="shared" si="0"/>
        <v>10</v>
      </c>
    </row>
    <row r="41" spans="2:4" x14ac:dyDescent="0.25">
      <c r="B41" s="33" t="s">
        <v>25</v>
      </c>
      <c r="C41" s="34">
        <f>VLOOKUP($D$32&amp;"-"&amp;B41,Tabela_Apoio!B:E,4,0)</f>
        <v>0.1</v>
      </c>
      <c r="D41" s="35">
        <f t="shared" si="0"/>
        <v>20</v>
      </c>
    </row>
    <row r="42" spans="2:4" x14ac:dyDescent="0.25">
      <c r="B42" s="32" t="s">
        <v>34</v>
      </c>
      <c r="C42" s="36">
        <f>SUM(C36:C41)</f>
        <v>0.99999999999999989</v>
      </c>
      <c r="D42" s="37">
        <f>SUM(D36:D41)</f>
        <v>200</v>
      </c>
    </row>
  </sheetData>
  <sheetProtection sheet="1" objects="1" scenarios="1"/>
  <protectedRanges>
    <protectedRange sqref="D13:D14 D18:D20" name="Intervalo1"/>
  </protectedRanges>
  <mergeCells count="13">
    <mergeCell ref="B22:C22"/>
    <mergeCell ref="B12:D12"/>
    <mergeCell ref="B17:D17"/>
    <mergeCell ref="B33:C33"/>
    <mergeCell ref="B32:C32"/>
    <mergeCell ref="B21:C21"/>
    <mergeCell ref="B24:C24"/>
    <mergeCell ref="B13:C13"/>
    <mergeCell ref="B14:C14"/>
    <mergeCell ref="B15:C15"/>
    <mergeCell ref="B18:C18"/>
    <mergeCell ref="B19:C19"/>
    <mergeCell ref="B20:C20"/>
  </mergeCells>
  <dataValidations count="7">
    <dataValidation type="list" allowBlank="1" showInputMessage="1" showErrorMessage="1" sqref="D32">
      <formula1>"CONSERVADOR,MODERADO,AGRESSIVO"</formula1>
    </dataValidation>
    <dataValidation allowBlank="1" showInputMessage="1" showErrorMessage="1" promptTitle="Dívidas de ambientes imobiliária" prompt="Investe em títulos e valores mobiliários, como Certificados de Recebíveis Imobiliários (CRIs) e Letras de Crédito Imobiliário (LCIs)." sqref="B36"/>
    <dataValidation allowBlank="1" showInputMessage="1" showErrorMessage="1" promptTitle="Shoppings, prédios, galpões" prompt="Modalidade de investimento que aplica diretamente em imóveis físicos, como prédios comerciais, shoppings centers, galpões logísticos e hospitais, buscando rendimentos principalmente por meio de aluguéis e valorização dos imóveis no mercado." sqref="B37"/>
    <dataValidation allowBlank="1" showInputMessage="1" showErrorMessage="1" promptTitle="Fundos de papel e tijolo" prompt="Mistura ativos de tijolo (imóveis físicos) e de papel (títulos imobiliários como CRIs), oferecendo diversificação natural e flexibilidade de gestão" sqref="B38"/>
    <dataValidation allowBlank="1" showInputMessage="1" showErrorMessage="1" promptTitle="Fundos de fundos" prompt="Investe em cotas de outros FIIs" sqref="B39"/>
    <dataValidation allowBlank="1" showInputMessage="1" showErrorMessage="1" promptTitle="Criando um novos ambientes" prompt="Veículos de investimento focados na aquisição de terrenos e construção de imóveis com o objetivo de venda futura ou locação após a conclusão das obras." sqref="B40"/>
    <dataValidation allowBlank="1" showInputMessage="1" showErrorMessage="1" promptTitle="Investem em hotéis e resorts" prompt="Investem em hotéis e resorts, gerando renda a partir de aluguéis ou da participação nos resultados operacionais dos empreendimentos. " sqref="B41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B1:E20"/>
  <sheetViews>
    <sheetView workbookViewId="0">
      <selection activeCell="G11" sqref="G11"/>
    </sheetView>
  </sheetViews>
  <sheetFormatPr defaultRowHeight="15" x14ac:dyDescent="0.25"/>
  <cols>
    <col min="1" max="1" width="1.5703125" customWidth="1"/>
    <col min="2" max="2" width="34.85546875" bestFit="1" customWidth="1"/>
    <col min="3" max="3" width="14.7109375" bestFit="1" customWidth="1"/>
    <col min="4" max="4" width="20" bestFit="1" customWidth="1"/>
    <col min="5" max="5" width="9.140625" style="3"/>
  </cols>
  <sheetData>
    <row r="1" spans="2:5" ht="7.5" customHeight="1" x14ac:dyDescent="0.25"/>
    <row r="2" spans="2:5" x14ac:dyDescent="0.25">
      <c r="B2" s="25" t="s">
        <v>32</v>
      </c>
      <c r="C2" s="25" t="s">
        <v>16</v>
      </c>
      <c r="D2" s="25" t="s">
        <v>21</v>
      </c>
      <c r="E2" s="25" t="s">
        <v>31</v>
      </c>
    </row>
    <row r="3" spans="2:5" x14ac:dyDescent="0.25">
      <c r="B3" t="str">
        <f>$C3&amp;"-"&amp;$D3</f>
        <v>CONSERVADOR-PAPEL</v>
      </c>
      <c r="C3" t="s">
        <v>30</v>
      </c>
      <c r="D3" s="3" t="s">
        <v>22</v>
      </c>
      <c r="E3" s="23">
        <v>0.3</v>
      </c>
    </row>
    <row r="4" spans="2:5" x14ac:dyDescent="0.25">
      <c r="B4" t="str">
        <f t="shared" ref="B4:B20" si="0">$C4&amp;"-"&amp;$D4</f>
        <v>CONSERVADOR-TIJOLO</v>
      </c>
      <c r="C4" t="s">
        <v>30</v>
      </c>
      <c r="D4" s="3" t="s">
        <v>23</v>
      </c>
      <c r="E4" s="23">
        <v>0.5</v>
      </c>
    </row>
    <row r="5" spans="2:5" x14ac:dyDescent="0.25">
      <c r="B5" t="str">
        <f t="shared" si="0"/>
        <v>CONSERVADOR-HÍBRIDOS</v>
      </c>
      <c r="C5" t="s">
        <v>30</v>
      </c>
      <c r="D5" s="3" t="s">
        <v>27</v>
      </c>
      <c r="E5" s="23">
        <v>0.1</v>
      </c>
    </row>
    <row r="6" spans="2:5" x14ac:dyDescent="0.25">
      <c r="B6" t="str">
        <f t="shared" si="0"/>
        <v>CONSERVADOR-FOFs</v>
      </c>
      <c r="C6" t="s">
        <v>30</v>
      </c>
      <c r="D6" s="3" t="s">
        <v>24</v>
      </c>
      <c r="E6" s="23">
        <v>0.1</v>
      </c>
    </row>
    <row r="7" spans="2:5" x14ac:dyDescent="0.25">
      <c r="B7" t="str">
        <f t="shared" si="0"/>
        <v>CONSERVADOR-DESENVOLVIMENTOS</v>
      </c>
      <c r="C7" t="s">
        <v>30</v>
      </c>
      <c r="D7" s="3" t="s">
        <v>26</v>
      </c>
      <c r="E7" s="23">
        <v>0</v>
      </c>
    </row>
    <row r="8" spans="2:5" x14ac:dyDescent="0.25">
      <c r="B8" s="28" t="str">
        <f t="shared" si="0"/>
        <v>CONSERVADOR-HOTELARIAS</v>
      </c>
      <c r="C8" t="s">
        <v>30</v>
      </c>
      <c r="D8" s="3" t="s">
        <v>25</v>
      </c>
      <c r="E8" s="23">
        <v>0</v>
      </c>
    </row>
    <row r="9" spans="2:5" x14ac:dyDescent="0.25">
      <c r="B9" t="str">
        <f t="shared" si="0"/>
        <v>MODERADO-PAPEL</v>
      </c>
      <c r="C9" s="26" t="s">
        <v>18</v>
      </c>
      <c r="D9" s="27" t="s">
        <v>22</v>
      </c>
      <c r="E9" s="30">
        <v>0.32</v>
      </c>
    </row>
    <row r="10" spans="2:5" x14ac:dyDescent="0.25">
      <c r="B10" t="str">
        <f t="shared" si="0"/>
        <v>MODERADO-TIJOLO</v>
      </c>
      <c r="C10" t="s">
        <v>18</v>
      </c>
      <c r="D10" s="3" t="s">
        <v>23</v>
      </c>
      <c r="E10" s="23">
        <v>0.35</v>
      </c>
    </row>
    <row r="11" spans="2:5" x14ac:dyDescent="0.25">
      <c r="B11" t="str">
        <f t="shared" si="0"/>
        <v>MODERADO-HÍBRIDOS</v>
      </c>
      <c r="C11" t="s">
        <v>18</v>
      </c>
      <c r="D11" s="3" t="s">
        <v>27</v>
      </c>
      <c r="E11" s="23">
        <v>0.08</v>
      </c>
    </row>
    <row r="12" spans="2:5" x14ac:dyDescent="0.25">
      <c r="B12" t="str">
        <f t="shared" si="0"/>
        <v>MODERADO-FOFs</v>
      </c>
      <c r="C12" t="s">
        <v>18</v>
      </c>
      <c r="D12" s="3" t="s">
        <v>24</v>
      </c>
      <c r="E12" s="23">
        <v>0.1</v>
      </c>
    </row>
    <row r="13" spans="2:5" x14ac:dyDescent="0.25">
      <c r="B13" t="str">
        <f t="shared" si="0"/>
        <v>MODERADO-DESENVOLVIMENTOS</v>
      </c>
      <c r="C13" t="s">
        <v>18</v>
      </c>
      <c r="D13" s="3" t="s">
        <v>26</v>
      </c>
      <c r="E13" s="23">
        <v>0.05</v>
      </c>
    </row>
    <row r="14" spans="2:5" x14ac:dyDescent="0.25">
      <c r="B14" s="28" t="str">
        <f t="shared" si="0"/>
        <v>MODERADO-HOTELARIAS</v>
      </c>
      <c r="C14" s="28" t="s">
        <v>18</v>
      </c>
      <c r="D14" s="29" t="s">
        <v>25</v>
      </c>
      <c r="E14" s="31">
        <v>0.1</v>
      </c>
    </row>
    <row r="15" spans="2:5" x14ac:dyDescent="0.25">
      <c r="B15" t="str">
        <f t="shared" si="0"/>
        <v>AGRESSIVO-PAPEL</v>
      </c>
      <c r="C15" t="s">
        <v>17</v>
      </c>
      <c r="D15" s="3" t="s">
        <v>22</v>
      </c>
      <c r="E15" s="23">
        <v>0.5</v>
      </c>
    </row>
    <row r="16" spans="2:5" x14ac:dyDescent="0.25">
      <c r="B16" t="str">
        <f t="shared" si="0"/>
        <v>AGRESSIVO-TIJOLO</v>
      </c>
      <c r="C16" t="s">
        <v>17</v>
      </c>
      <c r="D16" s="3" t="s">
        <v>23</v>
      </c>
      <c r="E16" s="23">
        <v>0.1</v>
      </c>
    </row>
    <row r="17" spans="2:5" x14ac:dyDescent="0.25">
      <c r="B17" t="str">
        <f t="shared" si="0"/>
        <v>AGRESSIVO-HÍBRIDOS</v>
      </c>
      <c r="C17" t="s">
        <v>17</v>
      </c>
      <c r="D17" s="3" t="s">
        <v>27</v>
      </c>
      <c r="E17" s="23">
        <v>0.05</v>
      </c>
    </row>
    <row r="18" spans="2:5" x14ac:dyDescent="0.25">
      <c r="B18" t="str">
        <f t="shared" si="0"/>
        <v>AGRESSIVO-FOFs</v>
      </c>
      <c r="C18" t="s">
        <v>17</v>
      </c>
      <c r="D18" s="3" t="s">
        <v>24</v>
      </c>
      <c r="E18" s="23">
        <v>0.05</v>
      </c>
    </row>
    <row r="19" spans="2:5" x14ac:dyDescent="0.25">
      <c r="B19" t="str">
        <f t="shared" si="0"/>
        <v>AGRESSIVO-DESENVOLVIMENTOS</v>
      </c>
      <c r="C19" t="s">
        <v>17</v>
      </c>
      <c r="D19" s="3" t="s">
        <v>26</v>
      </c>
      <c r="E19" s="23">
        <v>0.2</v>
      </c>
    </row>
    <row r="20" spans="2:5" x14ac:dyDescent="0.25">
      <c r="B20" t="str">
        <f t="shared" si="0"/>
        <v>AGRESSIVO-HOTELARIAS</v>
      </c>
      <c r="C20" t="s">
        <v>17</v>
      </c>
      <c r="D20" s="3" t="s">
        <v>25</v>
      </c>
      <c r="E20" s="23">
        <v>0.1</v>
      </c>
    </row>
  </sheetData>
  <sheetProtection sheet="1" objects="1" scenarios="1"/>
  <protectedRanges>
    <protectedRange sqref="E3:E20" name="Intervalo1"/>
  </protectedRanges>
  <dataValidations count="6">
    <dataValidation allowBlank="1" showInputMessage="1" showErrorMessage="1" promptTitle="Investem em hotéis e resorts" prompt="Investem em hotéis e resorts, gerando renda a partir de aluguéis ou da participação nos resultados operacionais dos empreendimentos. " sqref="D8 D14 D20"/>
    <dataValidation allowBlank="1" showInputMessage="1" showErrorMessage="1" promptTitle="Criando um novos ambientes" prompt="Veículos de investimento focados na aquisição de terrenos e construção de imóveis com o objetivo de venda futura ou locação após a conclusão das obras." sqref="D7 D13 D19"/>
    <dataValidation allowBlank="1" showInputMessage="1" showErrorMessage="1" promptTitle="Fundos de fundos" prompt="Investe em cotas de outros FIIs" sqref="D6 D12 D18"/>
    <dataValidation allowBlank="1" showInputMessage="1" showErrorMessage="1" promptTitle="Fundos de papel e tijolo" prompt="Mistura ativos de tijolo (imóveis físicos) e de papel (títulos imobiliários como CRIs), oferecendo diversificação natural e flexibilidade de gestão" sqref="D5 D11 D17"/>
    <dataValidation allowBlank="1" showInputMessage="1" showErrorMessage="1" promptTitle="Shoppings, prédios, galpões" prompt="Modalidade de investimento que aplica diretamente em imóveis físicos, como prédios comerciais, shoppings centers, galpões logísticos e hospitais, buscando rendimentos principalmente por meio de aluguéis e valorização dos imóveis no mercado." sqref="D4 D10 D16"/>
    <dataValidation allowBlank="1" showInputMessage="1" showErrorMessage="1" promptTitle="Dívidas de ambientes imobiliária" prompt="Investe em títulos e valores mobiliários, como Certificados de Recebíveis Imobiliários (CRIs) e Letras de Crédito Imobiliário (LCIs)." sqref="D3 D9 D15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 Financeiro</vt:lpstr>
      <vt:lpstr>Tabela_Apoio</vt:lpstr>
      <vt:lpstr>Aporte</vt:lpstr>
      <vt:lpstr>Dividendos</vt:lpstr>
      <vt:lpstr>Invest_Mensal</vt:lpstr>
      <vt:lpstr>Patrimonio</vt:lpstr>
      <vt:lpstr>Quant_Anos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Gabriela</cp:lastModifiedBy>
  <dcterms:created xsi:type="dcterms:W3CDTF">2026-01-09T02:12:02Z</dcterms:created>
  <dcterms:modified xsi:type="dcterms:W3CDTF">2026-01-14T04:14:08Z</dcterms:modified>
</cp:coreProperties>
</file>